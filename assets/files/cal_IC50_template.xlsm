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0444E185-0652-4142-9112-B8F470C08211}" xr6:coauthVersionLast="40" xr6:coauthVersionMax="40" xr10:uidLastSave="{00000000-0000-0000-0000-000000000000}"/>
  <bookViews>
    <workbookView xWindow="29760" yWindow="0" windowWidth="22260" windowHeight="12645" activeTab="5" xr2:uid="{00000000-000D-0000-FFFF-FFFF00000000}"/>
  </bookViews>
  <sheets>
    <sheet name="01" sheetId="332" r:id="rId1"/>
    <sheet name="02" sheetId="333" r:id="rId2"/>
    <sheet name="03" sheetId="334" r:id="rId3"/>
    <sheet name="04" sheetId="335" r:id="rId4"/>
    <sheet name="05" sheetId="336" r:id="rId5"/>
    <sheet name="main" sheetId="23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7" i="23" l="1"/>
  <c r="K37" i="23"/>
  <c r="H37" i="23"/>
  <c r="E37" i="23"/>
  <c r="B37" i="23"/>
  <c r="B23" i="23" l="1"/>
  <c r="C23" i="23"/>
  <c r="E23" i="23"/>
  <c r="B24" i="23"/>
  <c r="C24" i="23"/>
  <c r="E24" i="23"/>
  <c r="B25" i="23"/>
  <c r="C25" i="23"/>
  <c r="E25" i="23"/>
  <c r="B26" i="23"/>
  <c r="C26" i="23"/>
  <c r="E26" i="23"/>
  <c r="B27" i="23"/>
  <c r="C27" i="23"/>
  <c r="E27" i="23"/>
  <c r="M34" i="23" l="1"/>
  <c r="J34" i="23"/>
  <c r="G34" i="23"/>
  <c r="O27" i="23"/>
  <c r="N27" i="23"/>
  <c r="O26" i="23"/>
  <c r="N26" i="23"/>
  <c r="O25" i="23"/>
  <c r="N25" i="23"/>
  <c r="O24" i="23"/>
  <c r="N24" i="23"/>
  <c r="O23" i="23"/>
  <c r="N23" i="23"/>
  <c r="L27" i="23"/>
  <c r="K27" i="23"/>
  <c r="L26" i="23"/>
  <c r="K26" i="23"/>
  <c r="L25" i="23"/>
  <c r="K25" i="23"/>
  <c r="L24" i="23"/>
  <c r="K24" i="23"/>
  <c r="L23" i="23"/>
  <c r="K23" i="23"/>
  <c r="I23" i="23"/>
  <c r="I27" i="23"/>
  <c r="H27" i="23"/>
  <c r="I26" i="23"/>
  <c r="H26" i="23"/>
  <c r="I25" i="23"/>
  <c r="H25" i="23"/>
  <c r="I24" i="23"/>
  <c r="H24" i="23"/>
  <c r="H23" i="23"/>
  <c r="F24" i="23"/>
  <c r="F25" i="23"/>
  <c r="F26" i="23"/>
  <c r="F27" i="23"/>
  <c r="F23" i="23"/>
  <c r="D34" i="23"/>
  <c r="A34" i="23"/>
  <c r="H31" i="23" l="1"/>
  <c r="I31" i="23" s="1"/>
  <c r="B30" i="23"/>
  <c r="C30" i="23" s="1"/>
  <c r="K31" i="23"/>
  <c r="L31" i="23" s="1"/>
  <c r="N30" i="23"/>
  <c r="O30" i="23" s="1"/>
  <c r="N34" i="23"/>
  <c r="O34" i="23" s="1"/>
  <c r="B31" i="23"/>
  <c r="C31" i="23" s="1"/>
  <c r="K34" i="23"/>
  <c r="L34" i="23" s="1"/>
  <c r="N33" i="23"/>
  <c r="O33" i="23" s="1"/>
  <c r="H34" i="23"/>
  <c r="I34" i="23" s="1"/>
  <c r="E31" i="23"/>
  <c r="F31" i="23" s="1"/>
  <c r="E32" i="23"/>
  <c r="F32" i="23" s="1"/>
  <c r="K30" i="23"/>
  <c r="L30" i="23" s="1"/>
  <c r="E34" i="23"/>
  <c r="F34" i="23" s="1"/>
  <c r="K32" i="23"/>
  <c r="L32" i="23" s="1"/>
  <c r="N31" i="23"/>
  <c r="O31" i="23" s="1"/>
  <c r="E33" i="23"/>
  <c r="F33" i="23" s="1"/>
  <c r="B34" i="23"/>
  <c r="C34" i="23" s="1"/>
  <c r="H33" i="23"/>
  <c r="I33" i="23" s="1"/>
  <c r="B33" i="23"/>
  <c r="C33" i="23" s="1"/>
  <c r="E30" i="23"/>
  <c r="F30" i="23" s="1"/>
  <c r="B32" i="23"/>
  <c r="C32" i="23" s="1"/>
  <c r="H30" i="23"/>
  <c r="I30" i="23" s="1"/>
  <c r="K33" i="23"/>
  <c r="L33" i="23" s="1"/>
  <c r="N32" i="23"/>
  <c r="O32" i="23" s="1"/>
  <c r="H32" i="23"/>
  <c r="I32" i="23" s="1"/>
  <c r="A31" i="23"/>
  <c r="J32" i="23"/>
  <c r="G30" i="23"/>
  <c r="G31" i="23"/>
  <c r="A33" i="23"/>
  <c r="M30" i="23"/>
  <c r="J33" i="23"/>
  <c r="A32" i="23"/>
  <c r="M31" i="23"/>
  <c r="D31" i="23"/>
  <c r="M32" i="23"/>
  <c r="G32" i="23"/>
  <c r="D30" i="23"/>
  <c r="G33" i="23"/>
  <c r="D32" i="23"/>
  <c r="J30" i="23"/>
  <c r="M33" i="23"/>
  <c r="A30" i="23"/>
  <c r="D33" i="23"/>
  <c r="J31" i="23"/>
</calcChain>
</file>

<file path=xl/sharedStrings.xml><?xml version="1.0" encoding="utf-8"?>
<sst xmlns="http://schemas.openxmlformats.org/spreadsheetml/2006/main" count="50" uniqueCount="31">
  <si>
    <t>概率单位</t>
    <phoneticPr fontId="1" type="noConversion"/>
  </si>
  <si>
    <t>抑制率1</t>
    <phoneticPr fontId="1" type="noConversion"/>
  </si>
  <si>
    <t>抑制率2</t>
    <phoneticPr fontId="1" type="noConversion"/>
  </si>
  <si>
    <t>2浓度</t>
    <phoneticPr fontId="1" type="noConversion"/>
  </si>
  <si>
    <t>3浓度</t>
    <phoneticPr fontId="1" type="noConversion"/>
  </si>
  <si>
    <t>4浓度</t>
    <phoneticPr fontId="1" type="noConversion"/>
  </si>
  <si>
    <t>5浓度</t>
    <phoneticPr fontId="1" type="noConversion"/>
  </si>
  <si>
    <t>1浓度(ug/ml)</t>
    <phoneticPr fontId="1" type="noConversion"/>
  </si>
  <si>
    <t>平均抑制率</t>
    <phoneticPr fontId="1" type="noConversion"/>
  </si>
  <si>
    <t>1浓度对数</t>
    <phoneticPr fontId="1" type="noConversion"/>
  </si>
  <si>
    <t>2浓度对数</t>
    <phoneticPr fontId="1" type="noConversion"/>
  </si>
  <si>
    <t>3浓度对数</t>
    <phoneticPr fontId="1" type="noConversion"/>
  </si>
  <si>
    <t>4浓度对数</t>
    <phoneticPr fontId="1" type="noConversion"/>
  </si>
  <si>
    <t>5浓度对数</t>
    <phoneticPr fontId="1" type="noConversion"/>
  </si>
  <si>
    <t>1-IC50对数</t>
    <phoneticPr fontId="1" type="noConversion"/>
  </si>
  <si>
    <t>1-IC50</t>
    <phoneticPr fontId="1" type="noConversion"/>
  </si>
  <si>
    <t>2-IC50对数</t>
    <phoneticPr fontId="1" type="noConversion"/>
  </si>
  <si>
    <t>2-IC50</t>
    <phoneticPr fontId="1" type="noConversion"/>
  </si>
  <si>
    <t>3-IC50对数</t>
    <phoneticPr fontId="1" type="noConversion"/>
  </si>
  <si>
    <t>3-IC50</t>
    <phoneticPr fontId="1" type="noConversion"/>
  </si>
  <si>
    <t>4-IC50对数</t>
    <phoneticPr fontId="1" type="noConversion"/>
  </si>
  <si>
    <t>4-IC50</t>
    <phoneticPr fontId="1" type="noConversion"/>
  </si>
  <si>
    <t>5-IC50对数</t>
    <phoneticPr fontId="1" type="noConversion"/>
  </si>
  <si>
    <t>5-IC50</t>
    <phoneticPr fontId="1" type="noConversion"/>
  </si>
  <si>
    <t>原始数据</t>
  </si>
  <si>
    <t>修改后数据</t>
  </si>
  <si>
    <t>无</t>
  </si>
  <si>
    <t>高浓度</t>
  </si>
  <si>
    <t>中间浓度</t>
  </si>
  <si>
    <t>低浓度</t>
  </si>
  <si>
    <t>空白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</si>
</sst>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0_ "/>
  </numFmts>
  <fonts count="5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1" applyNumberFormat="1" applyFont="1" applyFill="1" applyBorder="1" applyAlignment="1">
      <alignment horizontal="center" vertical="center"/>
    </xf>
    <xf numFmtId="0" fontId="2" fillId="0" borderId="2" xfId="1" applyNumberFormat="1" applyFont="1" applyFill="1" applyBorder="1" applyAlignment="1">
      <alignment horizontal="center" vertical="center"/>
    </xf>
    <xf numFmtId="0" fontId="2" fillId="0" borderId="3" xfId="1" applyNumberFormat="1" applyFont="1" applyFill="1" applyBorder="1" applyAlignment="1">
      <alignment horizontal="center" vertical="center"/>
    </xf>
    <xf numFmtId="0" fontId="2" fillId="0" borderId="4" xfId="1" applyNumberFormat="1" applyFont="1" applyFill="1" applyBorder="1" applyAlignment="1">
      <alignment horizontal="center" vertical="center"/>
    </xf>
    <xf numFmtId="0" fontId="2" fillId="0" borderId="5" xfId="1" applyNumberFormat="1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>
      <alignment horizontal="center" vertical="center"/>
    </xf>
    <xf numFmtId="0" fontId="2" fillId="0" borderId="6" xfId="1" applyNumberFormat="1" applyFont="1" applyFill="1" applyBorder="1" applyAlignment="1">
      <alignment horizontal="center" vertical="center"/>
    </xf>
    <xf numFmtId="0" fontId="2" fillId="0" borderId="7" xfId="1" applyNumberFormat="1" applyFont="1" applyFill="1" applyBorder="1" applyAlignment="1">
      <alignment horizontal="center" vertical="center"/>
    </xf>
    <xf numFmtId="0" fontId="2" fillId="0" borderId="8" xfId="1" applyNumberFormat="1" applyFont="1" applyFill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9" xfId="1" applyNumberFormat="1" applyFont="1" applyFill="1" applyBorder="1" applyAlignment="1">
      <alignment horizontal="center" vertical="center"/>
    </xf>
    <xf numFmtId="0" fontId="2" fillId="0" borderId="10" xfId="1" applyNumberFormat="1" applyFont="1" applyFill="1" applyBorder="1" applyAlignment="1">
      <alignment horizontal="center" vertical="center"/>
    </xf>
    <xf numFmtId="0" fontId="2" fillId="0" borderId="11" xfId="1" applyNumberFormat="1" applyFont="1" applyFill="1" applyBorder="1" applyAlignment="1">
      <alignment horizontal="center" vertical="center"/>
    </xf>
    <xf numFmtId="0" fontId="2" fillId="0" borderId="12" xfId="1" applyNumberFormat="1" applyFont="1" applyFill="1" applyBorder="1" applyAlignment="1">
      <alignment horizontal="center" vertical="center"/>
    </xf>
    <xf numFmtId="0" fontId="2" fillId="0" borderId="13" xfId="1" applyNumberFormat="1" applyFont="1" applyFill="1" applyBorder="1" applyAlignment="1">
      <alignment horizontal="center" vertical="center"/>
    </xf>
    <xf numFmtId="0" fontId="2" fillId="0" borderId="14" xfId="1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2" xfId="0" applyNumberFormat="1" applyFont="1" applyBorder="1" applyAlignment="1">
      <alignment horizontal="center" vertical="center"/>
    </xf>
    <xf numFmtId="176" fontId="4" fillId="0" borderId="13" xfId="0" applyNumberFormat="1" applyFont="1" applyBorder="1" applyAlignment="1">
      <alignment horizontal="center" vertical="center"/>
    </xf>
    <xf numFmtId="10" fontId="4" fillId="0" borderId="16" xfId="0" applyNumberFormat="1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</cellXfs>
  <cellStyles count="2">
    <cellStyle name="常规" xfId="0" builtinId="0"/>
    <cellStyle name="常规 2" xfId="1" xr:uid="{865D3B53-CD6A-4E89-98B7-EB7076DEAA41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DF08B-A726-4CC7-B871-E4D95B037CC8}">
  <dimension ref="A1"/>
  <sheetViews>
    <sheetView workbookViewId="0">
      <selection activeCell="D12" sqref="D1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C3EB1-060A-496A-B34D-6EB588D109B1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DD723-E872-41D1-B5DE-2D953478104D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7A6D1-5D89-4B64-BAA9-636B6F2EBC28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D930E-5685-4DB1-AD56-6CFB9CE239BC}">
  <dimension ref="A1"/>
  <sheetViews>
    <sheetView workbookViewId="0">
      <selection sqref="A1:G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340B-56B6-4A7D-ADDA-B93D3E56A6DD}">
  <sheetPr codeName="Sheet3"/>
  <dimension ref="A1:O37"/>
  <sheetViews>
    <sheetView tabSelected="1" workbookViewId="0">
      <selection activeCell="M5" sqref="M5"/>
    </sheetView>
  </sheetViews>
  <sheetFormatPr defaultRowHeight="14.25"/>
  <cols>
    <col min="1" max="1" width="11.75" style="1" customWidth="1"/>
    <col min="2" max="2" width="10" style="1" customWidth="1"/>
    <col min="3" max="16384" width="9" style="1"/>
  </cols>
  <sheetData>
    <row r="1" spans="1:13">
      <c r="A1" s="1" t="s">
        <v>24</v>
      </c>
    </row>
    <row r="2" spans="1:13" ht="15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5"/>
    </row>
    <row r="3" spans="1:13" ht="15">
      <c r="A3" s="6"/>
      <c r="B3" s="2"/>
      <c r="C3" s="2"/>
      <c r="D3" s="2"/>
      <c r="E3" s="2"/>
      <c r="F3" s="2"/>
      <c r="G3" s="2"/>
      <c r="H3" s="2"/>
      <c r="I3" s="2"/>
      <c r="J3" s="2"/>
      <c r="K3" s="2"/>
      <c r="L3" s="7"/>
    </row>
    <row r="4" spans="1:13" ht="15">
      <c r="A4" s="6"/>
      <c r="B4" s="2"/>
      <c r="C4" s="2"/>
      <c r="D4" s="2"/>
      <c r="E4" s="2"/>
      <c r="F4" s="2"/>
      <c r="G4" s="2"/>
      <c r="H4" s="2"/>
      <c r="I4" s="2"/>
      <c r="J4" s="2"/>
      <c r="K4" s="2"/>
      <c r="L4" s="7"/>
    </row>
    <row r="5" spans="1:13" ht="15">
      <c r="A5" s="6"/>
      <c r="B5" s="2"/>
      <c r="C5" s="2"/>
      <c r="D5" s="2"/>
      <c r="E5" s="2"/>
      <c r="F5" s="2"/>
      <c r="G5" s="2"/>
      <c r="H5" s="2"/>
      <c r="I5" s="2"/>
      <c r="J5" s="2"/>
      <c r="K5" s="2"/>
      <c r="L5" s="7"/>
    </row>
    <row r="6" spans="1:13" ht="15">
      <c r="A6" s="6"/>
      <c r="B6" s="2"/>
      <c r="C6" s="2"/>
      <c r="D6" s="2"/>
      <c r="E6" s="2"/>
      <c r="F6" s="2"/>
      <c r="G6" s="2"/>
      <c r="H6" s="2"/>
      <c r="I6" s="2"/>
      <c r="J6" s="2"/>
      <c r="K6" s="2"/>
      <c r="L6" s="7"/>
    </row>
    <row r="7" spans="1:13" ht="15">
      <c r="A7" s="6"/>
      <c r="B7" s="2"/>
      <c r="C7" s="2"/>
      <c r="D7" s="2"/>
      <c r="E7" s="2"/>
      <c r="F7" s="2"/>
      <c r="G7" s="2"/>
      <c r="H7" s="2"/>
      <c r="I7" s="2"/>
      <c r="J7" s="2"/>
      <c r="K7" s="2"/>
      <c r="L7" s="7"/>
    </row>
    <row r="8" spans="1:13" ht="15">
      <c r="A8" s="6"/>
      <c r="B8" s="2"/>
      <c r="C8" s="2"/>
      <c r="D8" s="2"/>
      <c r="E8" s="2"/>
      <c r="F8" s="2"/>
      <c r="G8" s="2"/>
      <c r="H8" s="2"/>
      <c r="I8" s="2"/>
      <c r="J8" s="2"/>
      <c r="K8" s="2"/>
      <c r="L8" s="7"/>
    </row>
    <row r="9" spans="1:13" ht="15">
      <c r="A9" s="8"/>
      <c r="B9" s="9"/>
      <c r="C9" s="9"/>
      <c r="D9" s="9"/>
      <c r="E9" s="9"/>
      <c r="F9" s="9"/>
      <c r="G9" s="9"/>
      <c r="H9" s="9"/>
      <c r="I9" s="9"/>
      <c r="J9" s="9"/>
      <c r="K9" s="9"/>
      <c r="L9" s="10"/>
    </row>
    <row r="11" spans="1:13">
      <c r="A11" s="1" t="s">
        <v>25</v>
      </c>
    </row>
    <row r="12" spans="1:13" ht="1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5"/>
      <c r="M12" s="1" t="s">
        <v>26</v>
      </c>
    </row>
    <row r="13" spans="1:13" ht="15">
      <c r="A13" s="6"/>
      <c r="B13" s="13"/>
      <c r="C13" s="14"/>
      <c r="D13" s="13"/>
      <c r="E13" s="14"/>
      <c r="F13" s="13"/>
      <c r="G13" s="14"/>
      <c r="H13" s="13"/>
      <c r="I13" s="14"/>
      <c r="J13" s="13"/>
      <c r="K13" s="14"/>
      <c r="L13" s="7"/>
      <c r="M13" s="1" t="s">
        <v>27</v>
      </c>
    </row>
    <row r="14" spans="1:13" ht="15">
      <c r="A14" s="6"/>
      <c r="B14" s="15"/>
      <c r="C14" s="16"/>
      <c r="D14" s="15"/>
      <c r="E14" s="16"/>
      <c r="F14" s="15"/>
      <c r="G14" s="16"/>
      <c r="H14" s="15"/>
      <c r="I14" s="16"/>
      <c r="J14" s="15"/>
      <c r="K14" s="16"/>
      <c r="L14" s="7"/>
      <c r="M14" s="1" t="s">
        <v>28</v>
      </c>
    </row>
    <row r="15" spans="1:13" ht="15">
      <c r="A15" s="6"/>
      <c r="B15" s="15"/>
      <c r="C15" s="16"/>
      <c r="D15" s="15"/>
      <c r="E15" s="16"/>
      <c r="F15" s="15"/>
      <c r="G15" s="16"/>
      <c r="H15" s="15"/>
      <c r="I15" s="16"/>
      <c r="J15" s="15"/>
      <c r="K15" s="16"/>
      <c r="L15" s="7"/>
      <c r="M15" s="1" t="s">
        <v>28</v>
      </c>
    </row>
    <row r="16" spans="1:13" ht="15">
      <c r="A16" s="6"/>
      <c r="B16" s="15"/>
      <c r="C16" s="16"/>
      <c r="D16" s="15"/>
      <c r="E16" s="16"/>
      <c r="F16" s="15"/>
      <c r="G16" s="16"/>
      <c r="H16" s="15"/>
      <c r="I16" s="16"/>
      <c r="J16" s="15"/>
      <c r="K16" s="16"/>
      <c r="L16" s="7"/>
      <c r="M16" s="1" t="s">
        <v>28</v>
      </c>
    </row>
    <row r="17" spans="1:15" ht="15">
      <c r="A17" s="6"/>
      <c r="B17" s="15"/>
      <c r="C17" s="16"/>
      <c r="D17" s="15"/>
      <c r="E17" s="16"/>
      <c r="F17" s="15"/>
      <c r="G17" s="16"/>
      <c r="H17" s="15"/>
      <c r="I17" s="16"/>
      <c r="J17" s="15"/>
      <c r="K17" s="16"/>
      <c r="L17" s="7"/>
      <c r="M17" s="1" t="s">
        <v>29</v>
      </c>
    </row>
    <row r="18" spans="1:15" ht="15">
      <c r="A18" s="6"/>
      <c r="B18" s="17"/>
      <c r="C18" s="18"/>
      <c r="D18" s="17"/>
      <c r="E18" s="18"/>
      <c r="F18" s="17"/>
      <c r="G18" s="18"/>
      <c r="H18" s="17"/>
      <c r="I18" s="18"/>
      <c r="J18" s="17"/>
      <c r="K18" s="18"/>
      <c r="L18" s="7"/>
      <c r="M18" s="1" t="s">
        <v>30</v>
      </c>
    </row>
    <row r="19" spans="1:15" ht="15">
      <c r="A19" s="8"/>
      <c r="B19" s="9"/>
      <c r="C19" s="9"/>
      <c r="D19" s="9"/>
      <c r="E19" s="9"/>
      <c r="F19" s="9"/>
      <c r="G19" s="9"/>
      <c r="H19" s="9"/>
      <c r="I19" s="9"/>
      <c r="J19" s="9"/>
      <c r="K19" s="9"/>
      <c r="L19" s="10"/>
      <c r="M19" s="1" t="s">
        <v>26</v>
      </c>
    </row>
    <row r="22" spans="1:15">
      <c r="A22" s="19" t="s">
        <v>7</v>
      </c>
      <c r="B22" s="20" t="s">
        <v>1</v>
      </c>
      <c r="C22" s="21" t="s">
        <v>2</v>
      </c>
      <c r="D22" s="19" t="s">
        <v>3</v>
      </c>
      <c r="E22" s="20" t="s">
        <v>1</v>
      </c>
      <c r="F22" s="21" t="s">
        <v>2</v>
      </c>
      <c r="G22" s="19" t="s">
        <v>4</v>
      </c>
      <c r="H22" s="20" t="s">
        <v>1</v>
      </c>
      <c r="I22" s="21" t="s">
        <v>2</v>
      </c>
      <c r="J22" s="19" t="s">
        <v>5</v>
      </c>
      <c r="K22" s="20" t="s">
        <v>1</v>
      </c>
      <c r="L22" s="21" t="s">
        <v>2</v>
      </c>
      <c r="M22" s="19" t="s">
        <v>6</v>
      </c>
      <c r="N22" s="20" t="s">
        <v>1</v>
      </c>
      <c r="O22" s="21" t="s">
        <v>2</v>
      </c>
    </row>
    <row r="23" spans="1:15" ht="15">
      <c r="A23" s="22">
        <v>4</v>
      </c>
      <c r="B23" s="23" t="e">
        <f t="shared" ref="B23:C27" si="0">(B$18-B13)/B$18</f>
        <v>#DIV/0!</v>
      </c>
      <c r="C23" s="24" t="e">
        <f t="shared" si="0"/>
        <v>#DIV/0!</v>
      </c>
      <c r="D23" s="22">
        <v>4</v>
      </c>
      <c r="E23" s="23" t="e">
        <f t="shared" ref="E23:F27" si="1">(D$18-D13)/D$18</f>
        <v>#DIV/0!</v>
      </c>
      <c r="F23" s="24" t="e">
        <f t="shared" si="1"/>
        <v>#DIV/0!</v>
      </c>
      <c r="G23" s="22">
        <v>4</v>
      </c>
      <c r="H23" s="23" t="e">
        <f t="shared" ref="H23:I27" si="2">(F$18-F13)/F$18</f>
        <v>#DIV/0!</v>
      </c>
      <c r="I23" s="24" t="e">
        <f t="shared" si="2"/>
        <v>#DIV/0!</v>
      </c>
      <c r="J23" s="22">
        <v>4</v>
      </c>
      <c r="K23" s="23" t="e">
        <f t="shared" ref="K23:L27" si="3">(H$18-H13)/H$18</f>
        <v>#DIV/0!</v>
      </c>
      <c r="L23" s="24" t="e">
        <f t="shared" si="3"/>
        <v>#DIV/0!</v>
      </c>
      <c r="M23" s="22">
        <v>4</v>
      </c>
      <c r="N23" s="23" t="e">
        <f t="shared" ref="N23:O27" si="4">(J$18-J13)/J$18</f>
        <v>#DIV/0!</v>
      </c>
      <c r="O23" s="24" t="e">
        <f t="shared" si="4"/>
        <v>#DIV/0!</v>
      </c>
    </row>
    <row r="24" spans="1:15" ht="15">
      <c r="A24" s="22">
        <v>3</v>
      </c>
      <c r="B24" s="23" t="e">
        <f t="shared" si="0"/>
        <v>#DIV/0!</v>
      </c>
      <c r="C24" s="24" t="e">
        <f t="shared" si="0"/>
        <v>#DIV/0!</v>
      </c>
      <c r="D24" s="22">
        <v>3</v>
      </c>
      <c r="E24" s="23" t="e">
        <f t="shared" si="1"/>
        <v>#DIV/0!</v>
      </c>
      <c r="F24" s="24" t="e">
        <f t="shared" si="1"/>
        <v>#DIV/0!</v>
      </c>
      <c r="G24" s="22">
        <v>3</v>
      </c>
      <c r="H24" s="23" t="e">
        <f t="shared" si="2"/>
        <v>#DIV/0!</v>
      </c>
      <c r="I24" s="24" t="e">
        <f t="shared" si="2"/>
        <v>#DIV/0!</v>
      </c>
      <c r="J24" s="22">
        <v>3</v>
      </c>
      <c r="K24" s="23" t="e">
        <f t="shared" si="3"/>
        <v>#DIV/0!</v>
      </c>
      <c r="L24" s="24" t="e">
        <f t="shared" si="3"/>
        <v>#DIV/0!</v>
      </c>
      <c r="M24" s="22">
        <v>3</v>
      </c>
      <c r="N24" s="23" t="e">
        <f t="shared" si="4"/>
        <v>#DIV/0!</v>
      </c>
      <c r="O24" s="24" t="e">
        <f t="shared" si="4"/>
        <v>#DIV/0!</v>
      </c>
    </row>
    <row r="25" spans="1:15" ht="15">
      <c r="A25" s="22">
        <v>2</v>
      </c>
      <c r="B25" s="23" t="e">
        <f t="shared" si="0"/>
        <v>#DIV/0!</v>
      </c>
      <c r="C25" s="24" t="e">
        <f t="shared" si="0"/>
        <v>#DIV/0!</v>
      </c>
      <c r="D25" s="22">
        <v>2</v>
      </c>
      <c r="E25" s="23" t="e">
        <f t="shared" si="1"/>
        <v>#DIV/0!</v>
      </c>
      <c r="F25" s="24" t="e">
        <f t="shared" si="1"/>
        <v>#DIV/0!</v>
      </c>
      <c r="G25" s="22">
        <v>2</v>
      </c>
      <c r="H25" s="23" t="e">
        <f t="shared" si="2"/>
        <v>#DIV/0!</v>
      </c>
      <c r="I25" s="24" t="e">
        <f t="shared" si="2"/>
        <v>#DIV/0!</v>
      </c>
      <c r="J25" s="22">
        <v>2</v>
      </c>
      <c r="K25" s="23" t="e">
        <f t="shared" si="3"/>
        <v>#DIV/0!</v>
      </c>
      <c r="L25" s="24" t="e">
        <f t="shared" si="3"/>
        <v>#DIV/0!</v>
      </c>
      <c r="M25" s="22">
        <v>2</v>
      </c>
      <c r="N25" s="23" t="e">
        <f t="shared" si="4"/>
        <v>#DIV/0!</v>
      </c>
      <c r="O25" s="24" t="e">
        <f t="shared" si="4"/>
        <v>#DIV/0!</v>
      </c>
    </row>
    <row r="26" spans="1:15" ht="15">
      <c r="A26" s="22">
        <v>1</v>
      </c>
      <c r="B26" s="23" t="e">
        <f t="shared" si="0"/>
        <v>#DIV/0!</v>
      </c>
      <c r="C26" s="24" t="e">
        <f t="shared" si="0"/>
        <v>#DIV/0!</v>
      </c>
      <c r="D26" s="22">
        <v>1</v>
      </c>
      <c r="E26" s="23" t="e">
        <f t="shared" si="1"/>
        <v>#DIV/0!</v>
      </c>
      <c r="F26" s="24" t="e">
        <f t="shared" si="1"/>
        <v>#DIV/0!</v>
      </c>
      <c r="G26" s="22">
        <v>1</v>
      </c>
      <c r="H26" s="23" t="e">
        <f t="shared" si="2"/>
        <v>#DIV/0!</v>
      </c>
      <c r="I26" s="24" t="e">
        <f t="shared" si="2"/>
        <v>#DIV/0!</v>
      </c>
      <c r="J26" s="22">
        <v>1</v>
      </c>
      <c r="K26" s="23" t="e">
        <f t="shared" si="3"/>
        <v>#DIV/0!</v>
      </c>
      <c r="L26" s="24" t="e">
        <f t="shared" si="3"/>
        <v>#DIV/0!</v>
      </c>
      <c r="M26" s="22">
        <v>1</v>
      </c>
      <c r="N26" s="23" t="e">
        <f t="shared" si="4"/>
        <v>#DIV/0!</v>
      </c>
      <c r="O26" s="24" t="e">
        <f t="shared" si="4"/>
        <v>#DIV/0!</v>
      </c>
    </row>
    <row r="27" spans="1:15" ht="15">
      <c r="A27" s="25">
        <v>0.5</v>
      </c>
      <c r="B27" s="26" t="e">
        <f t="shared" si="0"/>
        <v>#DIV/0!</v>
      </c>
      <c r="C27" s="27" t="e">
        <f t="shared" si="0"/>
        <v>#DIV/0!</v>
      </c>
      <c r="D27" s="25">
        <v>0.5</v>
      </c>
      <c r="E27" s="26" t="e">
        <f t="shared" si="1"/>
        <v>#DIV/0!</v>
      </c>
      <c r="F27" s="27" t="e">
        <f t="shared" si="1"/>
        <v>#DIV/0!</v>
      </c>
      <c r="G27" s="25">
        <v>0.5</v>
      </c>
      <c r="H27" s="26" t="e">
        <f t="shared" si="2"/>
        <v>#DIV/0!</v>
      </c>
      <c r="I27" s="27" t="e">
        <f t="shared" si="2"/>
        <v>#DIV/0!</v>
      </c>
      <c r="J27" s="25">
        <v>0.5</v>
      </c>
      <c r="K27" s="26" t="e">
        <f t="shared" si="3"/>
        <v>#DIV/0!</v>
      </c>
      <c r="L27" s="27" t="e">
        <f t="shared" si="3"/>
        <v>#DIV/0!</v>
      </c>
      <c r="M27" s="25">
        <v>0.5</v>
      </c>
      <c r="N27" s="26" t="e">
        <f t="shared" si="4"/>
        <v>#DIV/0!</v>
      </c>
      <c r="O27" s="27" t="e">
        <f t="shared" si="4"/>
        <v>#DIV/0!</v>
      </c>
    </row>
    <row r="29" spans="1:15">
      <c r="A29" s="1" t="s">
        <v>9</v>
      </c>
      <c r="B29" s="1" t="s">
        <v>8</v>
      </c>
      <c r="C29" s="1" t="s">
        <v>0</v>
      </c>
      <c r="D29" s="1" t="s">
        <v>10</v>
      </c>
      <c r="E29" s="1" t="s">
        <v>8</v>
      </c>
      <c r="F29" s="1" t="s">
        <v>0</v>
      </c>
      <c r="G29" s="1" t="s">
        <v>11</v>
      </c>
      <c r="H29" s="1" t="s">
        <v>8</v>
      </c>
      <c r="I29" s="1" t="s">
        <v>0</v>
      </c>
      <c r="J29" s="1" t="s">
        <v>12</v>
      </c>
      <c r="K29" s="1" t="s">
        <v>8</v>
      </c>
      <c r="L29" s="1" t="s">
        <v>0</v>
      </c>
      <c r="M29" s="1" t="s">
        <v>13</v>
      </c>
      <c r="N29" s="1" t="s">
        <v>8</v>
      </c>
      <c r="O29" s="1" t="s">
        <v>0</v>
      </c>
    </row>
    <row r="30" spans="1:15" ht="15">
      <c r="A30" s="11">
        <f>LOG10(A23)</f>
        <v>0.6020599913279624</v>
      </c>
      <c r="B30" s="11" t="e">
        <f>AVERAGE(B23:C23)*100</f>
        <v>#DIV/0!</v>
      </c>
      <c r="C30" s="12" t="e">
        <f>NORMSINV(B30/100)+5</f>
        <v>#DIV/0!</v>
      </c>
      <c r="D30" s="11">
        <f>LOG10(D23)</f>
        <v>0.6020599913279624</v>
      </c>
      <c r="E30" s="11" t="e">
        <f>AVERAGE(E23:F23)*100</f>
        <v>#DIV/0!</v>
      </c>
      <c r="F30" s="12" t="e">
        <f>NORMSINV(E30/100)+5</f>
        <v>#DIV/0!</v>
      </c>
      <c r="G30" s="11">
        <f>LOG10(G23)</f>
        <v>0.6020599913279624</v>
      </c>
      <c r="H30" s="11" t="e">
        <f>AVERAGE(H23:I23)*100</f>
        <v>#DIV/0!</v>
      </c>
      <c r="I30" s="12" t="e">
        <f>NORMSINV(H30/100)+5</f>
        <v>#DIV/0!</v>
      </c>
      <c r="J30" s="11">
        <f>LOG10(J23)</f>
        <v>0.6020599913279624</v>
      </c>
      <c r="K30" s="11" t="e">
        <f>AVERAGE(K23:L23)*100</f>
        <v>#DIV/0!</v>
      </c>
      <c r="L30" s="12" t="e">
        <f>NORMSINV(K30/100)+5</f>
        <v>#DIV/0!</v>
      </c>
      <c r="M30" s="11">
        <f>LOG10(M23)</f>
        <v>0.6020599913279624</v>
      </c>
      <c r="N30" s="11" t="e">
        <f>AVERAGE(N23:O23)*100</f>
        <v>#DIV/0!</v>
      </c>
      <c r="O30" s="12" t="e">
        <f>NORMSINV(N30/100)+5</f>
        <v>#DIV/0!</v>
      </c>
    </row>
    <row r="31" spans="1:15" ht="15">
      <c r="A31" s="11">
        <f t="shared" ref="A31:A34" si="5">LOG10(A24)</f>
        <v>0.47712125471966244</v>
      </c>
      <c r="B31" s="11" t="e">
        <f t="shared" ref="B31:B34" si="6">AVERAGE(B24:C24)*100</f>
        <v>#DIV/0!</v>
      </c>
      <c r="C31" s="12" t="e">
        <f t="shared" ref="C31:C34" si="7">NORMSINV(B31/100)+5</f>
        <v>#DIV/0!</v>
      </c>
      <c r="D31" s="11">
        <f t="shared" ref="D31:D34" si="8">LOG10(D24)</f>
        <v>0.47712125471966244</v>
      </c>
      <c r="E31" s="11" t="e">
        <f t="shared" ref="E31:E34" si="9">AVERAGE(E24:F24)*100</f>
        <v>#DIV/0!</v>
      </c>
      <c r="F31" s="12" t="e">
        <f t="shared" ref="F31:F34" si="10">NORMSINV(E31/100)+5</f>
        <v>#DIV/0!</v>
      </c>
      <c r="G31" s="11">
        <f t="shared" ref="G31:G34" si="11">LOG10(G24)</f>
        <v>0.47712125471966244</v>
      </c>
      <c r="H31" s="11" t="e">
        <f t="shared" ref="H31:H34" si="12">AVERAGE(H24:I24)*100</f>
        <v>#DIV/0!</v>
      </c>
      <c r="I31" s="12" t="e">
        <f t="shared" ref="I31:I34" si="13">NORMSINV(H31/100)+5</f>
        <v>#DIV/0!</v>
      </c>
      <c r="J31" s="11">
        <f t="shared" ref="J31:J34" si="14">LOG10(J24)</f>
        <v>0.47712125471966244</v>
      </c>
      <c r="K31" s="11" t="e">
        <f t="shared" ref="K31:K34" si="15">AVERAGE(K24:L24)*100</f>
        <v>#DIV/0!</v>
      </c>
      <c r="L31" s="12" t="e">
        <f t="shared" ref="L31:L34" si="16">NORMSINV(K31/100)+5</f>
        <v>#DIV/0!</v>
      </c>
      <c r="M31" s="11">
        <f t="shared" ref="M31:M34" si="17">LOG10(M24)</f>
        <v>0.47712125471966244</v>
      </c>
      <c r="N31" s="11" t="e">
        <f t="shared" ref="N31:N34" si="18">AVERAGE(N24:O24)*100</f>
        <v>#DIV/0!</v>
      </c>
      <c r="O31" s="12" t="e">
        <f t="shared" ref="O31:O34" si="19">NORMSINV(N31/100)+5</f>
        <v>#DIV/0!</v>
      </c>
    </row>
    <row r="32" spans="1:15" ht="15">
      <c r="A32" s="11">
        <f t="shared" si="5"/>
        <v>0.3010299956639812</v>
      </c>
      <c r="B32" s="11" t="e">
        <f t="shared" si="6"/>
        <v>#DIV/0!</v>
      </c>
      <c r="C32" s="12" t="e">
        <f t="shared" si="7"/>
        <v>#DIV/0!</v>
      </c>
      <c r="D32" s="11">
        <f t="shared" si="8"/>
        <v>0.3010299956639812</v>
      </c>
      <c r="E32" s="11" t="e">
        <f t="shared" si="9"/>
        <v>#DIV/0!</v>
      </c>
      <c r="F32" s="12" t="e">
        <f t="shared" si="10"/>
        <v>#DIV/0!</v>
      </c>
      <c r="G32" s="11">
        <f t="shared" si="11"/>
        <v>0.3010299956639812</v>
      </c>
      <c r="H32" s="11" t="e">
        <f t="shared" si="12"/>
        <v>#DIV/0!</v>
      </c>
      <c r="I32" s="12" t="e">
        <f t="shared" si="13"/>
        <v>#DIV/0!</v>
      </c>
      <c r="J32" s="11">
        <f t="shared" si="14"/>
        <v>0.3010299956639812</v>
      </c>
      <c r="K32" s="11" t="e">
        <f t="shared" si="15"/>
        <v>#DIV/0!</v>
      </c>
      <c r="L32" s="12" t="e">
        <f t="shared" si="16"/>
        <v>#DIV/0!</v>
      </c>
      <c r="M32" s="11">
        <f t="shared" si="17"/>
        <v>0.3010299956639812</v>
      </c>
      <c r="N32" s="11" t="e">
        <f t="shared" si="18"/>
        <v>#DIV/0!</v>
      </c>
      <c r="O32" s="12" t="e">
        <f t="shared" si="19"/>
        <v>#DIV/0!</v>
      </c>
    </row>
    <row r="33" spans="1:15" ht="15">
      <c r="A33" s="11">
        <f t="shared" si="5"/>
        <v>0</v>
      </c>
      <c r="B33" s="11" t="e">
        <f t="shared" si="6"/>
        <v>#DIV/0!</v>
      </c>
      <c r="C33" s="12" t="e">
        <f t="shared" si="7"/>
        <v>#DIV/0!</v>
      </c>
      <c r="D33" s="11">
        <f t="shared" si="8"/>
        <v>0</v>
      </c>
      <c r="E33" s="11" t="e">
        <f t="shared" si="9"/>
        <v>#DIV/0!</v>
      </c>
      <c r="F33" s="12" t="e">
        <f t="shared" si="10"/>
        <v>#DIV/0!</v>
      </c>
      <c r="G33" s="11">
        <f t="shared" si="11"/>
        <v>0</v>
      </c>
      <c r="H33" s="11" t="e">
        <f t="shared" si="12"/>
        <v>#DIV/0!</v>
      </c>
      <c r="I33" s="12" t="e">
        <f t="shared" si="13"/>
        <v>#DIV/0!</v>
      </c>
      <c r="J33" s="11">
        <f t="shared" si="14"/>
        <v>0</v>
      </c>
      <c r="K33" s="11" t="e">
        <f t="shared" si="15"/>
        <v>#DIV/0!</v>
      </c>
      <c r="L33" s="12" t="e">
        <f t="shared" si="16"/>
        <v>#DIV/0!</v>
      </c>
      <c r="M33" s="11">
        <f t="shared" si="17"/>
        <v>0</v>
      </c>
      <c r="N33" s="11" t="e">
        <f t="shared" si="18"/>
        <v>#DIV/0!</v>
      </c>
      <c r="O33" s="12" t="e">
        <f t="shared" si="19"/>
        <v>#DIV/0!</v>
      </c>
    </row>
    <row r="34" spans="1:15" ht="15">
      <c r="A34" s="11">
        <f t="shared" si="5"/>
        <v>-0.3010299956639812</v>
      </c>
      <c r="B34" s="11" t="e">
        <f t="shared" si="6"/>
        <v>#DIV/0!</v>
      </c>
      <c r="C34" s="12" t="e">
        <f t="shared" si="7"/>
        <v>#DIV/0!</v>
      </c>
      <c r="D34" s="11">
        <f t="shared" si="8"/>
        <v>-0.3010299956639812</v>
      </c>
      <c r="E34" s="11" t="e">
        <f t="shared" si="9"/>
        <v>#DIV/0!</v>
      </c>
      <c r="F34" s="12" t="e">
        <f t="shared" si="10"/>
        <v>#DIV/0!</v>
      </c>
      <c r="G34" s="11">
        <f t="shared" si="11"/>
        <v>-0.3010299956639812</v>
      </c>
      <c r="H34" s="11" t="e">
        <f t="shared" si="12"/>
        <v>#DIV/0!</v>
      </c>
      <c r="I34" s="12" t="e">
        <f t="shared" si="13"/>
        <v>#DIV/0!</v>
      </c>
      <c r="J34" s="11">
        <f t="shared" si="14"/>
        <v>-0.3010299956639812</v>
      </c>
      <c r="K34" s="11" t="e">
        <f t="shared" si="15"/>
        <v>#DIV/0!</v>
      </c>
      <c r="L34" s="12" t="e">
        <f t="shared" si="16"/>
        <v>#DIV/0!</v>
      </c>
      <c r="M34" s="11">
        <f t="shared" si="17"/>
        <v>-0.3010299956639812</v>
      </c>
      <c r="N34" s="11" t="e">
        <f t="shared" si="18"/>
        <v>#DIV/0!</v>
      </c>
      <c r="O34" s="12" t="e">
        <f t="shared" si="19"/>
        <v>#DIV/0!</v>
      </c>
    </row>
    <row r="36" spans="1:15">
      <c r="A36" s="1" t="s">
        <v>14</v>
      </c>
      <c r="D36" s="1" t="s">
        <v>16</v>
      </c>
      <c r="G36" s="1" t="s">
        <v>18</v>
      </c>
      <c r="J36" s="1" t="s">
        <v>20</v>
      </c>
      <c r="M36" s="1" t="s">
        <v>22</v>
      </c>
    </row>
    <row r="37" spans="1:15">
      <c r="A37" s="1" t="s">
        <v>15</v>
      </c>
      <c r="B37" s="1">
        <f>POWER(10,B36)</f>
        <v>1</v>
      </c>
      <c r="D37" s="1" t="s">
        <v>17</v>
      </c>
      <c r="E37" s="1">
        <f>POWER(10,E36)</f>
        <v>1</v>
      </c>
      <c r="G37" s="1" t="s">
        <v>19</v>
      </c>
      <c r="H37" s="1">
        <f>POWER(10,H36)</f>
        <v>1</v>
      </c>
      <c r="J37" s="1" t="s">
        <v>21</v>
      </c>
      <c r="K37" s="1">
        <f>POWER(10,K36)</f>
        <v>1</v>
      </c>
      <c r="M37" s="1" t="s">
        <v>23</v>
      </c>
      <c r="N37" s="1">
        <f>POWER(10,N36)</f>
        <v>1</v>
      </c>
    </row>
  </sheetData>
  <phoneticPr fontId="1" type="noConversion"/>
  <conditionalFormatting sqref="B23:C27">
    <cfRule type="cellIs" dxfId="1" priority="2" operator="lessThan">
      <formula>0</formula>
    </cfRule>
  </conditionalFormatting>
  <conditionalFormatting sqref="A23:O27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01</vt:lpstr>
      <vt:lpstr>02</vt:lpstr>
      <vt:lpstr>03</vt:lpstr>
      <vt:lpstr>04</vt:lpstr>
      <vt:lpstr>05</vt:lpstr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2019-01-04T15:35:30Z</dcterms:modified>
</cp:coreProperties>
</file>